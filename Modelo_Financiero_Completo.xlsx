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uestos" sheetId="1" r:id="rId1"/>
    <sheet name="Flujos" sheetId="2" r:id="rId2"/>
    <sheet name="Grafico" sheetId="3" r:id="rId3"/>
    <sheet name="Resumen" sheetId="4" r:id="rId4"/>
    <sheet name="Sensibilidad" sheetId="5" r:id="rId5"/>
    <sheet name="Dashboard" sheetId="6" r:id="rId6"/>
    <sheet name="Export_Flujos" sheetId="7" r:id="rId7"/>
  </sheets>
  <calcPr calcId="124519" fullCalcOnLoad="1"/>
</workbook>
</file>

<file path=xl/sharedStrings.xml><?xml version="1.0" encoding="utf-8"?>
<sst xmlns="http://schemas.openxmlformats.org/spreadsheetml/2006/main" count="173" uniqueCount="53">
  <si>
    <t>Variable</t>
  </si>
  <si>
    <t>Valor</t>
  </si>
  <si>
    <t>Cantidad de montacargas</t>
  </si>
  <si>
    <t>Horas de uso por día</t>
  </si>
  <si>
    <t>Días por semana</t>
  </si>
  <si>
    <t>Costo por montacargas (USD)</t>
  </si>
  <si>
    <t>Tipo de cambio (MXN/USD)</t>
  </si>
  <si>
    <t>Renta mensual por unidad (MXN)</t>
  </si>
  <si>
    <t>Leasing tasa anual (estimada)</t>
  </si>
  <si>
    <t>Leasing plazo meses</t>
  </si>
  <si>
    <t>Valor residual (%)</t>
  </si>
  <si>
    <t>Tasa descuento (VPN) - Base</t>
  </si>
  <si>
    <t>Mantenimiento anual (% del valor) - Base</t>
  </si>
  <si>
    <t>Reemplazo batería (% del valor) - Base</t>
  </si>
  <si>
    <t>Horizonte análisis (años)</t>
  </si>
  <si>
    <t>Escenario</t>
  </si>
  <si>
    <t>Año</t>
  </si>
  <si>
    <t>Compra_Flujo</t>
  </si>
  <si>
    <t>Renta_Flujo</t>
  </si>
  <si>
    <t>Leasing_Flujo</t>
  </si>
  <si>
    <t>Optimista</t>
  </si>
  <si>
    <t>Base</t>
  </si>
  <si>
    <t>Pesimista</t>
  </si>
  <si>
    <t>Compra_Acumulado</t>
  </si>
  <si>
    <t>Renta_Acumulado</t>
  </si>
  <si>
    <t>Leasing_Acumulado</t>
  </si>
  <si>
    <t>NPV_Compra</t>
  </si>
  <si>
    <t>NPV_Renta</t>
  </si>
  <si>
    <t>NPV_Leasing</t>
  </si>
  <si>
    <t>IRR_Compra</t>
  </si>
  <si>
    <t>IRR_Renta</t>
  </si>
  <si>
    <t>IRR_Leasing</t>
  </si>
  <si>
    <t>Lease_Monthly_Unit</t>
  </si>
  <si>
    <t>Lease_Monthly_Fleet</t>
  </si>
  <si>
    <t>Tasa</t>
  </si>
  <si>
    <t>RentaUnit</t>
  </si>
  <si>
    <t>CostoUnitUSD</t>
  </si>
  <si>
    <t>Dashboard - KPIs (por Escenario)</t>
  </si>
  <si>
    <t>Seleccionar Escenario</t>
  </si>
  <si>
    <t>NPV Compra (MXN)</t>
  </si>
  <si>
    <t>NPV Renta (MXN)</t>
  </si>
  <si>
    <t>NPV Leasing (MXN)</t>
  </si>
  <si>
    <t>IRR Compra</t>
  </si>
  <si>
    <t>IRR Renta</t>
  </si>
  <si>
    <t>IRR Leasing</t>
  </si>
  <si>
    <t>Lease Mensual unidad (MXN)</t>
  </si>
  <si>
    <t>Compra Acum</t>
  </si>
  <si>
    <t>Renta Acum</t>
  </si>
  <si>
    <t>Leasing Acum</t>
  </si>
  <si>
    <t>Recomendación automática (heurística):</t>
  </si>
  <si>
    <t>Optimista: Mejor alternativa -&gt; Renta</t>
  </si>
  <si>
    <t>Base: Mejor alternativa -&gt; Renta</t>
  </si>
  <si>
    <t>Pesimista: Mejor alternativa -&gt; Renta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</si>
</sst>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NPV por Escenario y Alternativa (MXN)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NPV Compra</c:v>
          </c:tx>
          <c:cat>
            <c:strRef>
              <c:f>Dashboard!$A$7:$A$9</c:f>
              <c:strCache>
                <c:ptCount val="3"/>
                <c:pt idx="0">
                  <c:v>Optimista</c:v>
                </c:pt>
                <c:pt idx="1">
                  <c:v>Base</c:v>
                </c:pt>
                <c:pt idx="2">
                  <c:v>Pesimista</c:v>
                </c:pt>
              </c:strCache>
            </c:strRef>
          </c:cat>
          <c:val>
            <c:numRef>
              <c:f>Dashboard!$B$7:$B$9</c:f>
              <c:numCache>
                <c:formatCode>General</c:formatCode>
                <c:ptCount val="3"/>
                <c:pt idx="0">
                  <c:v>-98677014.30861197</c:v>
                </c:pt>
                <c:pt idx="1">
                  <c:v>-107682210.6204746</c:v>
                </c:pt>
                <c:pt idx="2">
                  <c:v>-127140895.1408022</c:v>
                </c:pt>
              </c:numCache>
            </c:numRef>
          </c:val>
        </c:ser>
        <c:ser>
          <c:idx val="1"/>
          <c:order val="1"/>
          <c:tx>
            <c:v>NPV Renta</c:v>
          </c:tx>
          <c:cat>
            <c:strRef>
              <c:f>Dashboard!$A$7:$A$9</c:f>
              <c:strCache>
                <c:ptCount val="3"/>
                <c:pt idx="0">
                  <c:v>Optimista</c:v>
                </c:pt>
                <c:pt idx="1">
                  <c:v>Base</c:v>
                </c:pt>
                <c:pt idx="2">
                  <c:v>Pesimista</c:v>
                </c:pt>
              </c:strCache>
            </c:strRef>
          </c:cat>
          <c:val>
            <c:numRef>
              <c:f>Dashboard!$C$7:$C$9</c:f>
              <c:numCache>
                <c:formatCode>General</c:formatCode>
                <c:ptCount val="3"/>
                <c:pt idx="0">
                  <c:v>-48105488.55506641</c:v>
                </c:pt>
                <c:pt idx="1">
                  <c:v>-50852007.25569776</c:v>
                </c:pt>
                <c:pt idx="2">
                  <c:v>-51944255.27759128</c:v>
                </c:pt>
              </c:numCache>
            </c:numRef>
          </c:val>
        </c:ser>
        <c:ser>
          <c:idx val="2"/>
          <c:order val="2"/>
          <c:tx>
            <c:v>NPV Leasing</c:v>
          </c:tx>
          <c:cat>
            <c:strRef>
              <c:f>Dashboard!$A$7:$A$9</c:f>
              <c:strCache>
                <c:ptCount val="3"/>
                <c:pt idx="0">
                  <c:v>Optimista</c:v>
                </c:pt>
                <c:pt idx="1">
                  <c:v>Base</c:v>
                </c:pt>
                <c:pt idx="2">
                  <c:v>Pesimista</c:v>
                </c:pt>
              </c:strCache>
            </c:strRef>
          </c:cat>
          <c:val>
            <c:numRef>
              <c:f>Dashboard!$D$7:$D$9</c:f>
              <c:numCache>
                <c:formatCode>General</c:formatCode>
                <c:ptCount val="3"/>
                <c:pt idx="0">
                  <c:v>-67580221.57198544</c:v>
                </c:pt>
                <c:pt idx="1">
                  <c:v>-71621551.06756526</c:v>
                </c:pt>
                <c:pt idx="2">
                  <c:v>-80331756.8086759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Escenario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NPV (MXN)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Costo acumulado - Escenario Base (MXN)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Compra Acum</c:v>
          </c:tx>
          <c:marker>
            <c:symbol val="none"/>
          </c:marker>
          <c:cat>
            <c:numRef>
              <c:f>Dashboard!$J$4:$J$14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cat>
          <c:val>
            <c:numRef>
              <c:f>Dashboard!$K$4:$K$14</c:f>
              <c:numCache>
                <c:formatCode>General</c:formatCode>
                <c:ptCount val="11"/>
                <c:pt idx="1">
                  <c:v>-75600000</c:v>
                </c:pt>
                <c:pt idx="2">
                  <c:v>-79380000</c:v>
                </c:pt>
                <c:pt idx="3">
                  <c:v>-83160000</c:v>
                </c:pt>
                <c:pt idx="4">
                  <c:v>-86940000</c:v>
                </c:pt>
                <c:pt idx="5">
                  <c:v>-90720000</c:v>
                </c:pt>
                <c:pt idx="6">
                  <c:v>-113400000</c:v>
                </c:pt>
                <c:pt idx="7">
                  <c:v>-117180000</c:v>
                </c:pt>
                <c:pt idx="8">
                  <c:v>-120960000</c:v>
                </c:pt>
                <c:pt idx="9">
                  <c:v>-124740000</c:v>
                </c:pt>
                <c:pt idx="10">
                  <c:v>-128520000</c:v>
                </c:pt>
              </c:numCache>
            </c:numRef>
          </c:val>
        </c:ser>
        <c:ser>
          <c:idx val="1"/>
          <c:order val="1"/>
          <c:tx>
            <c:v>Renta Acum</c:v>
          </c:tx>
          <c:marker>
            <c:symbol val="none"/>
          </c:marker>
          <c:cat>
            <c:numRef>
              <c:f>Dashboard!$J$4:$J$14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cat>
          <c:val>
            <c:numRef>
              <c:f>Dashboard!$L$4:$L$14</c:f>
              <c:numCache>
                <c:formatCode>General</c:formatCode>
                <c:ptCount val="11"/>
                <c:pt idx="1">
                  <c:v>0</c:v>
                </c:pt>
                <c:pt idx="2">
                  <c:v>-9000000</c:v>
                </c:pt>
                <c:pt idx="3">
                  <c:v>-18000000</c:v>
                </c:pt>
                <c:pt idx="4">
                  <c:v>-27000000</c:v>
                </c:pt>
                <c:pt idx="5">
                  <c:v>-36000000</c:v>
                </c:pt>
                <c:pt idx="6">
                  <c:v>-45000000</c:v>
                </c:pt>
                <c:pt idx="7">
                  <c:v>-54000000</c:v>
                </c:pt>
                <c:pt idx="8">
                  <c:v>-63000000</c:v>
                </c:pt>
                <c:pt idx="9">
                  <c:v>-72000000</c:v>
                </c:pt>
                <c:pt idx="10">
                  <c:v>-81000000</c:v>
                </c:pt>
              </c:numCache>
            </c:numRef>
          </c:val>
        </c:ser>
        <c:ser>
          <c:idx val="2"/>
          <c:order val="2"/>
          <c:tx>
            <c:v>Leasing Acum</c:v>
          </c:tx>
          <c:marker>
            <c:symbol val="none"/>
          </c:marker>
          <c:cat>
            <c:numRef>
              <c:f>Dashboard!$J$4:$J$14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cat>
          <c:val>
            <c:numRef>
              <c:f>Dashboard!$M$4:$M$14</c:f>
              <c:numCache>
                <c:formatCode>General</c:formatCode>
                <c:ptCount val="11"/>
                <c:pt idx="1">
                  <c:v>0</c:v>
                </c:pt>
                <c:pt idx="2">
                  <c:v>-27579161.48004159</c:v>
                </c:pt>
                <c:pt idx="3">
                  <c:v>-55158322.96008318</c:v>
                </c:pt>
                <c:pt idx="4">
                  <c:v>-90297484.44012478</c:v>
                </c:pt>
                <c:pt idx="5">
                  <c:v>-90297484.44012478</c:v>
                </c:pt>
                <c:pt idx="6">
                  <c:v>-90297484.44012478</c:v>
                </c:pt>
                <c:pt idx="7">
                  <c:v>-90297484.44012478</c:v>
                </c:pt>
                <c:pt idx="8">
                  <c:v>-90297484.44012478</c:v>
                </c:pt>
                <c:pt idx="9">
                  <c:v>-90297484.44012478</c:v>
                </c:pt>
                <c:pt idx="10">
                  <c:v>-90297484.44012478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Año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Costo acumulado (MXN)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285750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590550</xdr:colOff>
      <xdr:row>46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8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15.5</v>
      </c>
    </row>
    <row r="4" spans="1:2">
      <c r="A4" t="s">
        <v>4</v>
      </c>
      <c r="B4">
        <v>6</v>
      </c>
    </row>
    <row r="5" spans="1:2">
      <c r="A5" t="s">
        <v>5</v>
      </c>
      <c r="B5">
        <v>280000</v>
      </c>
    </row>
    <row r="6" spans="1:2">
      <c r="A6" t="s">
        <v>6</v>
      </c>
      <c r="B6">
        <v>18</v>
      </c>
    </row>
    <row r="7" spans="1:2">
      <c r="A7" t="s">
        <v>7</v>
      </c>
      <c r="B7">
        <v>50000</v>
      </c>
    </row>
    <row r="8" spans="1:2">
      <c r="A8" t="s">
        <v>8</v>
      </c>
      <c r="B8">
        <v>0.14</v>
      </c>
    </row>
    <row r="9" spans="1:2">
      <c r="A9" t="s">
        <v>9</v>
      </c>
      <c r="B9">
        <v>36</v>
      </c>
    </row>
    <row r="10" spans="1:2">
      <c r="A10" t="s">
        <v>10</v>
      </c>
      <c r="B10">
        <v>0.1</v>
      </c>
    </row>
    <row r="11" spans="1:2">
      <c r="A11" t="s">
        <v>11</v>
      </c>
      <c r="B11">
        <v>0.12</v>
      </c>
    </row>
    <row r="12" spans="1:2">
      <c r="A12" t="s">
        <v>12</v>
      </c>
      <c r="B12">
        <v>0.05</v>
      </c>
    </row>
    <row r="13" spans="1:2">
      <c r="A13" t="s">
        <v>13</v>
      </c>
      <c r="B13">
        <v>0.25</v>
      </c>
    </row>
    <row r="14" spans="1:2">
      <c r="A14" t="s">
        <v>14</v>
      </c>
      <c r="B1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12.7109375" customWidth="1"/>
    <col min="2" max="2" width="6.7109375" customWidth="1"/>
    <col min="3" max="5" width="18.7109375" style="2" customWidth="1"/>
  </cols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20</v>
      </c>
      <c r="B2">
        <v>0</v>
      </c>
      <c r="C2" s="2">
        <v>-70383600</v>
      </c>
      <c r="D2" s="2">
        <v>0</v>
      </c>
      <c r="E2" s="2">
        <v>0</v>
      </c>
    </row>
    <row r="3" spans="1:5">
      <c r="A3" t="s">
        <v>20</v>
      </c>
      <c r="B3">
        <v>1</v>
      </c>
      <c r="C3" s="2">
        <v>-3167262</v>
      </c>
      <c r="D3" s="2">
        <v>-8100000</v>
      </c>
      <c r="E3" s="2">
        <v>-25448532.01360585</v>
      </c>
    </row>
    <row r="4" spans="1:5">
      <c r="A4" t="s">
        <v>20</v>
      </c>
      <c r="B4">
        <v>2</v>
      </c>
      <c r="C4" s="2">
        <v>-3167262</v>
      </c>
      <c r="D4" s="2">
        <v>-8100000</v>
      </c>
      <c r="E4" s="2">
        <v>-25448532.01360585</v>
      </c>
    </row>
    <row r="5" spans="1:5">
      <c r="A5" t="s">
        <v>20</v>
      </c>
      <c r="B5">
        <v>3</v>
      </c>
      <c r="C5" s="2">
        <v>-3167262</v>
      </c>
      <c r="D5" s="2">
        <v>-8100000</v>
      </c>
      <c r="E5" s="2">
        <v>-32486892.01360585</v>
      </c>
    </row>
    <row r="6" spans="1:5">
      <c r="A6" t="s">
        <v>20</v>
      </c>
      <c r="B6">
        <v>4</v>
      </c>
      <c r="C6" s="2">
        <v>-3167262</v>
      </c>
      <c r="D6" s="2">
        <v>-8100000</v>
      </c>
      <c r="E6" s="2">
        <v>0</v>
      </c>
    </row>
    <row r="7" spans="1:5">
      <c r="A7" t="s">
        <v>20</v>
      </c>
      <c r="B7">
        <v>5</v>
      </c>
      <c r="C7" s="2">
        <v>-19003572</v>
      </c>
      <c r="D7" s="2">
        <v>-8100000</v>
      </c>
      <c r="E7" s="2">
        <v>0</v>
      </c>
    </row>
    <row r="8" spans="1:5">
      <c r="A8" t="s">
        <v>20</v>
      </c>
      <c r="B8">
        <v>6</v>
      </c>
      <c r="C8" s="2">
        <v>-3167262</v>
      </c>
      <c r="D8" s="2">
        <v>-8100000</v>
      </c>
      <c r="E8" s="2">
        <v>0</v>
      </c>
    </row>
    <row r="9" spans="1:5">
      <c r="A9" t="s">
        <v>20</v>
      </c>
      <c r="B9">
        <v>7</v>
      </c>
      <c r="C9" s="2">
        <v>-3167262</v>
      </c>
      <c r="D9" s="2">
        <v>-8100000</v>
      </c>
      <c r="E9" s="2">
        <v>0</v>
      </c>
    </row>
    <row r="10" spans="1:5">
      <c r="A10" t="s">
        <v>20</v>
      </c>
      <c r="B10">
        <v>8</v>
      </c>
      <c r="C10" s="2">
        <v>-3167262</v>
      </c>
      <c r="D10" s="2">
        <v>-8100000</v>
      </c>
      <c r="E10" s="2">
        <v>0</v>
      </c>
    </row>
    <row r="11" spans="1:5">
      <c r="A11" t="s">
        <v>20</v>
      </c>
      <c r="B11">
        <v>9</v>
      </c>
      <c r="C11" s="2">
        <v>-3167262</v>
      </c>
      <c r="D11" s="2">
        <v>-8100000</v>
      </c>
      <c r="E11" s="2">
        <v>0</v>
      </c>
    </row>
    <row r="12" spans="1:5">
      <c r="A12" t="s">
        <v>20</v>
      </c>
      <c r="B12">
        <v>10</v>
      </c>
      <c r="C12" s="2">
        <v>-3167262</v>
      </c>
      <c r="D12" s="2">
        <v>-8100000</v>
      </c>
      <c r="E12" s="2">
        <v>0</v>
      </c>
    </row>
    <row r="13" spans="1:5">
      <c r="A13" t="s">
        <v>21</v>
      </c>
      <c r="B13">
        <v>0</v>
      </c>
      <c r="C13" s="2">
        <v>-75600000</v>
      </c>
      <c r="D13" s="2">
        <v>0</v>
      </c>
      <c r="E13" s="2">
        <v>0</v>
      </c>
    </row>
    <row r="14" spans="1:5">
      <c r="A14" t="s">
        <v>21</v>
      </c>
      <c r="B14">
        <v>1</v>
      </c>
      <c r="C14" s="2">
        <v>-3780000</v>
      </c>
      <c r="D14" s="2">
        <v>-9000000</v>
      </c>
      <c r="E14" s="2">
        <v>-27579161.48004159</v>
      </c>
    </row>
    <row r="15" spans="1:5">
      <c r="A15" t="s">
        <v>21</v>
      </c>
      <c r="B15">
        <v>2</v>
      </c>
      <c r="C15" s="2">
        <v>-3780000</v>
      </c>
      <c r="D15" s="2">
        <v>-9000000</v>
      </c>
      <c r="E15" s="2">
        <v>-27579161.48004159</v>
      </c>
    </row>
    <row r="16" spans="1:5">
      <c r="A16" t="s">
        <v>21</v>
      </c>
      <c r="B16">
        <v>3</v>
      </c>
      <c r="C16" s="2">
        <v>-3780000</v>
      </c>
      <c r="D16" s="2">
        <v>-9000000</v>
      </c>
      <c r="E16" s="2">
        <v>-35139161.48004159</v>
      </c>
    </row>
    <row r="17" spans="1:5">
      <c r="A17" t="s">
        <v>21</v>
      </c>
      <c r="B17">
        <v>4</v>
      </c>
      <c r="C17" s="2">
        <v>-3780000</v>
      </c>
      <c r="D17" s="2">
        <v>-9000000</v>
      </c>
      <c r="E17" s="2">
        <v>0</v>
      </c>
    </row>
    <row r="18" spans="1:5">
      <c r="A18" t="s">
        <v>21</v>
      </c>
      <c r="B18">
        <v>5</v>
      </c>
      <c r="C18" s="2">
        <v>-22680000</v>
      </c>
      <c r="D18" s="2">
        <v>-9000000</v>
      </c>
      <c r="E18" s="2">
        <v>0</v>
      </c>
    </row>
    <row r="19" spans="1:5">
      <c r="A19" t="s">
        <v>21</v>
      </c>
      <c r="B19">
        <v>6</v>
      </c>
      <c r="C19" s="2">
        <v>-3780000</v>
      </c>
      <c r="D19" s="2">
        <v>-9000000</v>
      </c>
      <c r="E19" s="2">
        <v>0</v>
      </c>
    </row>
    <row r="20" spans="1:5">
      <c r="A20" t="s">
        <v>21</v>
      </c>
      <c r="B20">
        <v>7</v>
      </c>
      <c r="C20" s="2">
        <v>-3780000</v>
      </c>
      <c r="D20" s="2">
        <v>-9000000</v>
      </c>
      <c r="E20" s="2">
        <v>0</v>
      </c>
    </row>
    <row r="21" spans="1:5">
      <c r="A21" t="s">
        <v>21</v>
      </c>
      <c r="B21">
        <v>8</v>
      </c>
      <c r="C21" s="2">
        <v>-3780000</v>
      </c>
      <c r="D21" s="2">
        <v>-9000000</v>
      </c>
      <c r="E21" s="2">
        <v>0</v>
      </c>
    </row>
    <row r="22" spans="1:5">
      <c r="A22" t="s">
        <v>21</v>
      </c>
      <c r="B22">
        <v>9</v>
      </c>
      <c r="C22" s="2">
        <v>-3780000</v>
      </c>
      <c r="D22" s="2">
        <v>-9000000</v>
      </c>
      <c r="E22" s="2">
        <v>0</v>
      </c>
    </row>
    <row r="23" spans="1:5">
      <c r="A23" t="s">
        <v>21</v>
      </c>
      <c r="B23">
        <v>10</v>
      </c>
      <c r="C23" s="2">
        <v>-3780000</v>
      </c>
      <c r="D23" s="2">
        <v>-9000000</v>
      </c>
      <c r="E23" s="2">
        <v>0</v>
      </c>
    </row>
    <row r="24" spans="1:5">
      <c r="A24" t="s">
        <v>22</v>
      </c>
      <c r="B24">
        <v>0</v>
      </c>
      <c r="C24" s="2">
        <v>-86546880.00000001</v>
      </c>
      <c r="D24" s="2">
        <v>0</v>
      </c>
      <c r="E24" s="2">
        <v>0</v>
      </c>
    </row>
    <row r="25" spans="1:5">
      <c r="A25" t="s">
        <v>22</v>
      </c>
      <c r="B25">
        <v>1</v>
      </c>
      <c r="C25" s="2">
        <v>-5409180.000000001</v>
      </c>
      <c r="D25" s="2">
        <v>-10350000</v>
      </c>
      <c r="E25" s="2">
        <v>-32691108.03063929</v>
      </c>
    </row>
    <row r="26" spans="1:5">
      <c r="A26" t="s">
        <v>22</v>
      </c>
      <c r="B26">
        <v>2</v>
      </c>
      <c r="C26" s="2">
        <v>-5409180.000000001</v>
      </c>
      <c r="D26" s="2">
        <v>-10350000</v>
      </c>
      <c r="E26" s="2">
        <v>-32691108.03063929</v>
      </c>
    </row>
    <row r="27" spans="1:5">
      <c r="A27" t="s">
        <v>22</v>
      </c>
      <c r="B27">
        <v>3</v>
      </c>
      <c r="C27" s="2">
        <v>-5409180.000000001</v>
      </c>
      <c r="D27" s="2">
        <v>-10350000</v>
      </c>
      <c r="E27" s="2">
        <v>-41345796.03063929</v>
      </c>
    </row>
    <row r="28" spans="1:5">
      <c r="A28" t="s">
        <v>22</v>
      </c>
      <c r="B28">
        <v>4</v>
      </c>
      <c r="C28" s="2">
        <v>-5409180.000000001</v>
      </c>
      <c r="D28" s="2">
        <v>-10350000</v>
      </c>
      <c r="E28" s="2">
        <v>0</v>
      </c>
    </row>
    <row r="29" spans="1:5">
      <c r="A29" t="s">
        <v>22</v>
      </c>
      <c r="B29">
        <v>5</v>
      </c>
      <c r="C29" s="2">
        <v>-32455080</v>
      </c>
      <c r="D29" s="2">
        <v>-10350000</v>
      </c>
      <c r="E29" s="2">
        <v>0</v>
      </c>
    </row>
    <row r="30" spans="1:5">
      <c r="A30" t="s">
        <v>22</v>
      </c>
      <c r="B30">
        <v>6</v>
      </c>
      <c r="C30" s="2">
        <v>-5409180.000000001</v>
      </c>
      <c r="D30" s="2">
        <v>-10350000</v>
      </c>
      <c r="E30" s="2">
        <v>0</v>
      </c>
    </row>
    <row r="31" spans="1:5">
      <c r="A31" t="s">
        <v>22</v>
      </c>
      <c r="B31">
        <v>7</v>
      </c>
      <c r="C31" s="2">
        <v>-5409180.000000001</v>
      </c>
      <c r="D31" s="2">
        <v>-10350000</v>
      </c>
      <c r="E31" s="2">
        <v>0</v>
      </c>
    </row>
    <row r="32" spans="1:5">
      <c r="A32" t="s">
        <v>22</v>
      </c>
      <c r="B32">
        <v>8</v>
      </c>
      <c r="C32" s="2">
        <v>-5409180.000000001</v>
      </c>
      <c r="D32" s="2">
        <v>-10350000</v>
      </c>
      <c r="E32" s="2">
        <v>0</v>
      </c>
    </row>
    <row r="33" spans="1:5">
      <c r="A33" t="s">
        <v>22</v>
      </c>
      <c r="B33">
        <v>9</v>
      </c>
      <c r="C33" s="2">
        <v>-5409180.000000001</v>
      </c>
      <c r="D33" s="2">
        <v>-10350000</v>
      </c>
      <c r="E33" s="2">
        <v>0</v>
      </c>
    </row>
    <row r="34" spans="1:5">
      <c r="A34" t="s">
        <v>22</v>
      </c>
      <c r="B34">
        <v>10</v>
      </c>
      <c r="C34" s="2">
        <v>-5409180.000000001</v>
      </c>
      <c r="D34" s="2">
        <v>-10350000</v>
      </c>
      <c r="E3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12.7109375" customWidth="1"/>
    <col min="2" max="4" width="18.7109375" style="2" customWidth="1"/>
  </cols>
  <sheetData>
    <row r="1" spans="1:5">
      <c r="A1" s="1" t="s">
        <v>15</v>
      </c>
      <c r="B1" s="1" t="s">
        <v>16</v>
      </c>
      <c r="C1" s="1" t="s">
        <v>23</v>
      </c>
      <c r="D1" s="1" t="s">
        <v>24</v>
      </c>
      <c r="E1" s="1" t="s">
        <v>25</v>
      </c>
    </row>
    <row r="2" spans="1:5">
      <c r="A2" t="s">
        <v>20</v>
      </c>
      <c r="B2" s="2">
        <v>0</v>
      </c>
      <c r="C2" s="2">
        <v>-70383600</v>
      </c>
      <c r="D2" s="2">
        <v>0</v>
      </c>
      <c r="E2">
        <v>0</v>
      </c>
    </row>
    <row r="3" spans="1:5">
      <c r="A3" t="s">
        <v>20</v>
      </c>
      <c r="B3" s="2">
        <v>1</v>
      </c>
      <c r="C3" s="2">
        <v>-73550862</v>
      </c>
      <c r="D3" s="2">
        <v>-8100000</v>
      </c>
      <c r="E3">
        <v>-25448532.01360585</v>
      </c>
    </row>
    <row r="4" spans="1:5">
      <c r="A4" t="s">
        <v>20</v>
      </c>
      <c r="B4" s="2">
        <v>2</v>
      </c>
      <c r="C4" s="2">
        <v>-76718124</v>
      </c>
      <c r="D4" s="2">
        <v>-16200000</v>
      </c>
      <c r="E4">
        <v>-50897064.0272117</v>
      </c>
    </row>
    <row r="5" spans="1:5">
      <c r="A5" t="s">
        <v>20</v>
      </c>
      <c r="B5" s="2">
        <v>3</v>
      </c>
      <c r="C5" s="2">
        <v>-79885386</v>
      </c>
      <c r="D5" s="2">
        <v>-24300000</v>
      </c>
      <c r="E5">
        <v>-83383956.04081754</v>
      </c>
    </row>
    <row r="6" spans="1:5">
      <c r="A6" t="s">
        <v>20</v>
      </c>
      <c r="B6" s="2">
        <v>4</v>
      </c>
      <c r="C6" s="2">
        <v>-83052648</v>
      </c>
      <c r="D6" s="2">
        <v>-32400000</v>
      </c>
      <c r="E6">
        <v>-83383956.04081754</v>
      </c>
    </row>
    <row r="7" spans="1:5">
      <c r="A7" t="s">
        <v>20</v>
      </c>
      <c r="B7" s="2">
        <v>5</v>
      </c>
      <c r="C7" s="2">
        <v>-102056220</v>
      </c>
      <c r="D7" s="2">
        <v>-40500000</v>
      </c>
      <c r="E7">
        <v>-83383956.04081754</v>
      </c>
    </row>
    <row r="8" spans="1:5">
      <c r="A8" t="s">
        <v>20</v>
      </c>
      <c r="B8" s="2">
        <v>6</v>
      </c>
      <c r="C8" s="2">
        <v>-105223482</v>
      </c>
      <c r="D8" s="2">
        <v>-48600000</v>
      </c>
      <c r="E8">
        <v>-83383956.04081754</v>
      </c>
    </row>
    <row r="9" spans="1:5">
      <c r="A9" t="s">
        <v>20</v>
      </c>
      <c r="B9" s="2">
        <v>7</v>
      </c>
      <c r="C9" s="2">
        <v>-108390744</v>
      </c>
      <c r="D9" s="2">
        <v>-56700000</v>
      </c>
      <c r="E9">
        <v>-83383956.04081754</v>
      </c>
    </row>
    <row r="10" spans="1:5">
      <c r="A10" t="s">
        <v>20</v>
      </c>
      <c r="B10" s="2">
        <v>8</v>
      </c>
      <c r="C10" s="2">
        <v>-111558006</v>
      </c>
      <c r="D10" s="2">
        <v>-64800000</v>
      </c>
      <c r="E10">
        <v>-83383956.04081754</v>
      </c>
    </row>
    <row r="11" spans="1:5">
      <c r="A11" t="s">
        <v>20</v>
      </c>
      <c r="B11" s="2">
        <v>9</v>
      </c>
      <c r="C11" s="2">
        <v>-114725268</v>
      </c>
      <c r="D11" s="2">
        <v>-72900000</v>
      </c>
      <c r="E11">
        <v>-83383956.04081754</v>
      </c>
    </row>
    <row r="12" spans="1:5">
      <c r="A12" t="s">
        <v>20</v>
      </c>
      <c r="B12" s="2">
        <v>10</v>
      </c>
      <c r="C12" s="2">
        <v>-117892530</v>
      </c>
      <c r="D12" s="2">
        <v>-81000000</v>
      </c>
      <c r="E12">
        <v>-83383956.04081754</v>
      </c>
    </row>
    <row r="13" spans="1:5">
      <c r="A13" t="s">
        <v>21</v>
      </c>
      <c r="B13" s="2">
        <v>0</v>
      </c>
      <c r="C13" s="2">
        <v>-75600000</v>
      </c>
      <c r="D13" s="2">
        <v>0</v>
      </c>
      <c r="E13">
        <v>0</v>
      </c>
    </row>
    <row r="14" spans="1:5">
      <c r="A14" t="s">
        <v>21</v>
      </c>
      <c r="B14" s="2">
        <v>1</v>
      </c>
      <c r="C14" s="2">
        <v>-79380000</v>
      </c>
      <c r="D14" s="2">
        <v>-9000000</v>
      </c>
      <c r="E14">
        <v>-27579161.48004159</v>
      </c>
    </row>
    <row r="15" spans="1:5">
      <c r="A15" t="s">
        <v>21</v>
      </c>
      <c r="B15" s="2">
        <v>2</v>
      </c>
      <c r="C15" s="2">
        <v>-83160000</v>
      </c>
      <c r="D15" s="2">
        <v>-18000000</v>
      </c>
      <c r="E15">
        <v>-55158322.96008318</v>
      </c>
    </row>
    <row r="16" spans="1:5">
      <c r="A16" t="s">
        <v>21</v>
      </c>
      <c r="B16" s="2">
        <v>3</v>
      </c>
      <c r="C16" s="2">
        <v>-86940000</v>
      </c>
      <c r="D16" s="2">
        <v>-27000000</v>
      </c>
      <c r="E16">
        <v>-90297484.44012478</v>
      </c>
    </row>
    <row r="17" spans="1:5">
      <c r="A17" t="s">
        <v>21</v>
      </c>
      <c r="B17" s="2">
        <v>4</v>
      </c>
      <c r="C17" s="2">
        <v>-90720000</v>
      </c>
      <c r="D17" s="2">
        <v>-36000000</v>
      </c>
      <c r="E17">
        <v>-90297484.44012478</v>
      </c>
    </row>
    <row r="18" spans="1:5">
      <c r="A18" t="s">
        <v>21</v>
      </c>
      <c r="B18" s="2">
        <v>5</v>
      </c>
      <c r="C18" s="2">
        <v>-113400000</v>
      </c>
      <c r="D18" s="2">
        <v>-45000000</v>
      </c>
      <c r="E18">
        <v>-90297484.44012478</v>
      </c>
    </row>
    <row r="19" spans="1:5">
      <c r="A19" t="s">
        <v>21</v>
      </c>
      <c r="B19" s="2">
        <v>6</v>
      </c>
      <c r="C19" s="2">
        <v>-117180000</v>
      </c>
      <c r="D19" s="2">
        <v>-54000000</v>
      </c>
      <c r="E19">
        <v>-90297484.44012478</v>
      </c>
    </row>
    <row r="20" spans="1:5">
      <c r="A20" t="s">
        <v>21</v>
      </c>
      <c r="B20" s="2">
        <v>7</v>
      </c>
      <c r="C20" s="2">
        <v>-120960000</v>
      </c>
      <c r="D20" s="2">
        <v>-63000000</v>
      </c>
      <c r="E20">
        <v>-90297484.44012478</v>
      </c>
    </row>
    <row r="21" spans="1:5">
      <c r="A21" t="s">
        <v>21</v>
      </c>
      <c r="B21" s="2">
        <v>8</v>
      </c>
      <c r="C21" s="2">
        <v>-124740000</v>
      </c>
      <c r="D21" s="2">
        <v>-72000000</v>
      </c>
      <c r="E21">
        <v>-90297484.44012478</v>
      </c>
    </row>
    <row r="22" spans="1:5">
      <c r="A22" t="s">
        <v>21</v>
      </c>
      <c r="B22" s="2">
        <v>9</v>
      </c>
      <c r="C22" s="2">
        <v>-128520000</v>
      </c>
      <c r="D22" s="2">
        <v>-81000000</v>
      </c>
      <c r="E22">
        <v>-90297484.44012478</v>
      </c>
    </row>
    <row r="23" spans="1:5">
      <c r="A23" t="s">
        <v>21</v>
      </c>
      <c r="B23" s="2">
        <v>10</v>
      </c>
      <c r="C23" s="2">
        <v>-132300000</v>
      </c>
      <c r="D23" s="2">
        <v>-90000000</v>
      </c>
      <c r="E23">
        <v>-90297484.44012478</v>
      </c>
    </row>
    <row r="24" spans="1:5">
      <c r="A24" t="s">
        <v>22</v>
      </c>
      <c r="B24" s="2">
        <v>0</v>
      </c>
      <c r="C24" s="2">
        <v>-86546880.00000001</v>
      </c>
      <c r="D24" s="2">
        <v>0</v>
      </c>
      <c r="E24">
        <v>0</v>
      </c>
    </row>
    <row r="25" spans="1:5">
      <c r="A25" t="s">
        <v>22</v>
      </c>
      <c r="B25" s="2">
        <v>1</v>
      </c>
      <c r="C25" s="2">
        <v>-91956060.00000001</v>
      </c>
      <c r="D25" s="2">
        <v>-10350000</v>
      </c>
      <c r="E25">
        <v>-32691108.03063929</v>
      </c>
    </row>
    <row r="26" spans="1:5">
      <c r="A26" t="s">
        <v>22</v>
      </c>
      <c r="B26" s="2">
        <v>2</v>
      </c>
      <c r="C26" s="2">
        <v>-97365240.00000001</v>
      </c>
      <c r="D26" s="2">
        <v>-20700000</v>
      </c>
      <c r="E26">
        <v>-65382216.06127858</v>
      </c>
    </row>
    <row r="27" spans="1:5">
      <c r="A27" t="s">
        <v>22</v>
      </c>
      <c r="B27" s="2">
        <v>3</v>
      </c>
      <c r="C27" s="2">
        <v>-102774420</v>
      </c>
      <c r="D27" s="2">
        <v>-31049999.99999999</v>
      </c>
      <c r="E27">
        <v>-106728012.0919179</v>
      </c>
    </row>
    <row r="28" spans="1:5">
      <c r="A28" t="s">
        <v>22</v>
      </c>
      <c r="B28" s="2">
        <v>4</v>
      </c>
      <c r="C28" s="2">
        <v>-108183600</v>
      </c>
      <c r="D28" s="2">
        <v>-41399999.99999999</v>
      </c>
      <c r="E28">
        <v>-106728012.0919179</v>
      </c>
    </row>
    <row r="29" spans="1:5">
      <c r="A29" t="s">
        <v>22</v>
      </c>
      <c r="B29" s="2">
        <v>5</v>
      </c>
      <c r="C29" s="2">
        <v>-140638680</v>
      </c>
      <c r="D29" s="2">
        <v>-51749999.99999999</v>
      </c>
      <c r="E29">
        <v>-106728012.0919179</v>
      </c>
    </row>
    <row r="30" spans="1:5">
      <c r="A30" t="s">
        <v>22</v>
      </c>
      <c r="B30" s="2">
        <v>6</v>
      </c>
      <c r="C30" s="2">
        <v>-146047860</v>
      </c>
      <c r="D30" s="2">
        <v>-62099999.99999999</v>
      </c>
      <c r="E30">
        <v>-106728012.0919179</v>
      </c>
    </row>
    <row r="31" spans="1:5">
      <c r="A31" t="s">
        <v>22</v>
      </c>
      <c r="B31" s="2">
        <v>7</v>
      </c>
      <c r="C31" s="2">
        <v>-151457040</v>
      </c>
      <c r="D31" s="2">
        <v>-72449999.99999999</v>
      </c>
      <c r="E31">
        <v>-106728012.0919179</v>
      </c>
    </row>
    <row r="32" spans="1:5">
      <c r="A32" t="s">
        <v>22</v>
      </c>
      <c r="B32" s="2">
        <v>8</v>
      </c>
      <c r="C32" s="2">
        <v>-156866220</v>
      </c>
      <c r="D32" s="2">
        <v>-82799999.99999999</v>
      </c>
      <c r="E32">
        <v>-106728012.0919179</v>
      </c>
    </row>
    <row r="33" spans="1:5">
      <c r="A33" t="s">
        <v>22</v>
      </c>
      <c r="B33" s="2">
        <v>9</v>
      </c>
      <c r="C33" s="2">
        <v>-162275400</v>
      </c>
      <c r="D33" s="2">
        <v>-93149999.99999999</v>
      </c>
      <c r="E33">
        <v>-106728012.0919179</v>
      </c>
    </row>
    <row r="34" spans="1:5">
      <c r="A34" t="s">
        <v>22</v>
      </c>
      <c r="B34" s="2">
        <v>10</v>
      </c>
      <c r="C34" s="2">
        <v>-167684580</v>
      </c>
      <c r="D34" s="2">
        <v>-103500000</v>
      </c>
      <c r="E34">
        <v>-106728012.0919179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12.7109375" customWidth="1"/>
    <col min="2" max="4" width="18.7109375" style="2" customWidth="1"/>
    <col min="5" max="7" width="12.7109375" style="3" customWidth="1"/>
    <col min="8" max="9" width="18.7109375" style="2" customWidth="1"/>
  </cols>
  <sheetData>
    <row r="1" spans="1:9">
      <c r="A1" s="1" t="s">
        <v>15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 t="s">
        <v>20</v>
      </c>
      <c r="B2" s="2">
        <v>-98677014.30861197</v>
      </c>
      <c r="C2" s="2">
        <v>-48105488.55506641</v>
      </c>
      <c r="D2" s="2">
        <v>-67580221.57198544</v>
      </c>
      <c r="H2" s="2">
        <v>141380.7334089214</v>
      </c>
      <c r="I2" s="2">
        <v>2120711.001133821</v>
      </c>
    </row>
    <row r="3" spans="1:9">
      <c r="A3" t="s">
        <v>21</v>
      </c>
      <c r="B3" s="2">
        <v>-107682210.6204746</v>
      </c>
      <c r="C3" s="2">
        <v>-50852007.25569776</v>
      </c>
      <c r="D3" s="2">
        <v>-71621551.06756526</v>
      </c>
      <c r="H3" s="2">
        <v>153217.5637780088</v>
      </c>
      <c r="I3" s="2">
        <v>2298263.456670132</v>
      </c>
    </row>
    <row r="4" spans="1:9">
      <c r="A4" t="s">
        <v>22</v>
      </c>
      <c r="B4" s="2">
        <v>-127140895.1408022</v>
      </c>
      <c r="C4" s="2">
        <v>-51944255.27759128</v>
      </c>
      <c r="D4" s="2">
        <v>-80331756.8086759</v>
      </c>
      <c r="H4" s="2">
        <v>181617.266836885</v>
      </c>
      <c r="I4" s="2">
        <v>2724259.002553274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7" width="18.7109375" style="2" customWidth="1"/>
  </cols>
  <sheetData>
    <row r="1" spans="1:4">
      <c r="A1" s="1" t="s">
        <v>34</v>
      </c>
      <c r="B1" s="1" t="s">
        <v>26</v>
      </c>
      <c r="C1" s="1" t="s">
        <v>27</v>
      </c>
      <c r="D1" s="1" t="s">
        <v>28</v>
      </c>
    </row>
    <row r="2" spans="1:4">
      <c r="A2" s="2">
        <v>0.08</v>
      </c>
      <c r="B2" s="2">
        <v>-113827130.1119366</v>
      </c>
      <c r="C2" s="2">
        <v>-60390732.59047298</v>
      </c>
      <c r="D2" s="2">
        <v>-77075545.70315041</v>
      </c>
    </row>
    <row r="3" spans="1:4">
      <c r="A3" s="2">
        <v>0.09</v>
      </c>
      <c r="B3" s="2">
        <v>-112142449.3114198</v>
      </c>
      <c r="C3" s="2">
        <v>-57758919.31043106</v>
      </c>
      <c r="D3" s="2">
        <v>-75648691.45611745</v>
      </c>
    </row>
    <row r="4" spans="1:4">
      <c r="A4" s="2">
        <v>0.1</v>
      </c>
      <c r="B4" s="2">
        <v>-110561876.6653817</v>
      </c>
      <c r="C4" s="2">
        <v>-55301103.95134212</v>
      </c>
      <c r="D4" s="2">
        <v>-74265232.53113271</v>
      </c>
    </row>
    <row r="5" spans="1:4">
      <c r="A5" s="2">
        <v>0.11</v>
      </c>
      <c r="B5" s="2">
        <v>-109077527.1024205</v>
      </c>
      <c r="C5" s="2">
        <v>-53003088.10027084</v>
      </c>
      <c r="D5" s="2">
        <v>-72923409.5910717</v>
      </c>
    </row>
    <row r="6" spans="1:4">
      <c r="A6" s="2">
        <v>0.12</v>
      </c>
      <c r="B6" s="2">
        <v>-107682210.6204746</v>
      </c>
      <c r="C6" s="2">
        <v>-50852007.25569776</v>
      </c>
      <c r="D6" s="2">
        <v>-71621551.06756526</v>
      </c>
    </row>
    <row r="7" spans="1:4">
      <c r="A7" s="2">
        <v>0.13</v>
      </c>
      <c r="B7" s="2">
        <v>-106369363.1294915</v>
      </c>
      <c r="C7" s="2">
        <v>-48836191.28357597</v>
      </c>
      <c r="D7" s="2">
        <v>-70358068.00232707</v>
      </c>
    </row>
    <row r="8" spans="1:4">
      <c r="A8" s="2">
        <v>0.14</v>
      </c>
      <c r="B8" s="2">
        <v>-105132984.8993902</v>
      </c>
      <c r="C8" s="2">
        <v>-46945040.8166422</v>
      </c>
      <c r="D8" s="2">
        <v>-69131449.2358992</v>
      </c>
    </row>
    <row r="9" spans="1:4">
      <c r="A9" s="2">
        <v>0.15</v>
      </c>
      <c r="B9" s="2">
        <v>-103967585.7028667</v>
      </c>
      <c r="C9" s="2">
        <v>-45168917.63268808</v>
      </c>
      <c r="D9" s="2">
        <v>-67940256.91752738</v>
      </c>
    </row>
    <row r="10" spans="1:4">
      <c r="A10" s="2">
        <v>0.16</v>
      </c>
      <c r="B10" s="2">
        <v>-102868135.8598977</v>
      </c>
      <c r="C10" s="2">
        <v>-43499047.30611727</v>
      </c>
      <c r="D10" s="2">
        <v>-66783122.31207833</v>
      </c>
    </row>
    <row r="11" spans="1:4">
      <c r="A11" s="2">
        <v>0.17</v>
      </c>
      <c r="B11" s="2">
        <v>-101830022.4919837</v>
      </c>
      <c r="C11" s="2">
        <v>-41927432.64960155</v>
      </c>
      <c r="D11" s="2">
        <v>-65658741.88191479</v>
      </c>
    </row>
    <row r="12" spans="1:4">
      <c r="A12" s="2">
        <v>0.18</v>
      </c>
      <c r="B12" s="2">
        <v>-100849010.38157</v>
      </c>
      <c r="C12" s="2">
        <v>-40446776.65431972</v>
      </c>
      <c r="D12" s="2">
        <v>-64565873.62345991</v>
      </c>
    </row>
    <row r="13" spans="1:4">
      <c r="A13" s="2">
        <v>0.19</v>
      </c>
      <c r="B13" s="2">
        <v>-99921206.90770338</v>
      </c>
      <c r="C13" s="2">
        <v>-39050413.80263659</v>
      </c>
      <c r="D13" s="2">
        <v>-63503333.63983932</v>
      </c>
    </row>
    <row r="14" spans="1:4">
      <c r="A14" s="2">
        <v>0.2</v>
      </c>
      <c r="B14" s="2">
        <v>-99043030.59449303</v>
      </c>
      <c r="C14" s="2">
        <v>-37732248.76995695</v>
      </c>
      <c r="D14" s="2">
        <v>-62469992.93249503</v>
      </c>
    </row>
    <row r="17" spans="1:2">
      <c r="A17" s="1" t="s">
        <v>35</v>
      </c>
      <c r="B17" s="1" t="s">
        <v>27</v>
      </c>
    </row>
    <row r="18" spans="1:2">
      <c r="A18" s="2">
        <v>40000</v>
      </c>
      <c r="B18" s="2">
        <v>-40681605.80455821</v>
      </c>
    </row>
    <row r="19" spans="1:2">
      <c r="A19" s="2">
        <v>42000</v>
      </c>
      <c r="B19" s="2">
        <v>-42715686.09478612</v>
      </c>
    </row>
    <row r="20" spans="1:2">
      <c r="A20" s="2">
        <v>44000</v>
      </c>
      <c r="B20" s="2">
        <v>-44749766.38501403</v>
      </c>
    </row>
    <row r="21" spans="1:2">
      <c r="A21" s="2">
        <v>46000</v>
      </c>
      <c r="B21" s="2">
        <v>-46783846.67524194</v>
      </c>
    </row>
    <row r="22" spans="1:2">
      <c r="A22" s="2">
        <v>48000</v>
      </c>
      <c r="B22" s="2">
        <v>-48817926.96546985</v>
      </c>
    </row>
    <row r="23" spans="1:2">
      <c r="A23" s="2">
        <v>50000</v>
      </c>
      <c r="B23" s="2">
        <v>-50852007.25569776</v>
      </c>
    </row>
    <row r="24" spans="1:2">
      <c r="A24" s="2">
        <v>52000</v>
      </c>
      <c r="B24" s="2">
        <v>-52886087.54592567</v>
      </c>
    </row>
    <row r="25" spans="1:2">
      <c r="A25" s="2">
        <v>54000</v>
      </c>
      <c r="B25" s="2">
        <v>-54920167.83615358</v>
      </c>
    </row>
    <row r="26" spans="1:2">
      <c r="A26" s="2">
        <v>56000</v>
      </c>
      <c r="B26" s="2">
        <v>-56954248.12638149</v>
      </c>
    </row>
    <row r="27" spans="1:2">
      <c r="A27" s="2">
        <v>58000</v>
      </c>
      <c r="B27" s="2">
        <v>-58988328.41660941</v>
      </c>
    </row>
    <row r="28" spans="1:2">
      <c r="A28" s="2">
        <v>60000</v>
      </c>
      <c r="B28" s="2">
        <v>-61022408.70683732</v>
      </c>
    </row>
    <row r="32" spans="1:2">
      <c r="A32" s="1" t="s">
        <v>36</v>
      </c>
      <c r="B32" s="1" t="s">
        <v>26</v>
      </c>
    </row>
    <row r="33" spans="1:2">
      <c r="A33" s="2">
        <v>240000</v>
      </c>
      <c r="B33" s="2">
        <v>-92299037.6746925</v>
      </c>
    </row>
    <row r="34" spans="1:2">
      <c r="A34" s="2">
        <v>248000</v>
      </c>
      <c r="B34" s="2">
        <v>-95375672.26384892</v>
      </c>
    </row>
    <row r="35" spans="1:2">
      <c r="A35" s="2">
        <v>256000</v>
      </c>
      <c r="B35" s="2">
        <v>-98452306.85300533</v>
      </c>
    </row>
    <row r="36" spans="1:2">
      <c r="A36" s="2">
        <v>264000</v>
      </c>
      <c r="B36" s="2">
        <v>-101528941.4421618</v>
      </c>
    </row>
    <row r="37" spans="1:2">
      <c r="A37" s="2">
        <v>272000</v>
      </c>
      <c r="B37" s="2">
        <v>-104605576.0313182</v>
      </c>
    </row>
    <row r="38" spans="1:2">
      <c r="A38" s="2">
        <v>280000</v>
      </c>
      <c r="B38" s="2">
        <v>-107682210.6204746</v>
      </c>
    </row>
    <row r="39" spans="1:2">
      <c r="A39" s="2">
        <v>288000</v>
      </c>
      <c r="B39" s="2">
        <v>-110758845.209631</v>
      </c>
    </row>
    <row r="40" spans="1:2">
      <c r="A40" s="2">
        <v>296000</v>
      </c>
      <c r="B40" s="2">
        <v>-113835479.7987874</v>
      </c>
    </row>
    <row r="41" spans="1:2">
      <c r="A41" s="2">
        <v>304000</v>
      </c>
      <c r="B41" s="2">
        <v>-116912114.3879438</v>
      </c>
    </row>
    <row r="42" spans="1:2">
      <c r="A42" s="2">
        <v>312000</v>
      </c>
      <c r="B42" s="2">
        <v>-119988748.9771003</v>
      </c>
    </row>
    <row r="43" spans="1:2">
      <c r="A43" s="2">
        <v>320000</v>
      </c>
      <c r="B43" s="2">
        <v>-123065383.5662567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cols>
    <col min="1" max="1" width="36.7109375" customWidth="1"/>
    <col min="2" max="2" width="20.7109375" customWidth="1"/>
  </cols>
  <sheetData>
    <row r="1" spans="1:13">
      <c r="A1" s="4" t="s">
        <v>37</v>
      </c>
    </row>
    <row r="3" spans="1:13">
      <c r="A3" s="4" t="s">
        <v>38</v>
      </c>
      <c r="J3" s="4" t="s">
        <v>16</v>
      </c>
      <c r="K3" s="4" t="s">
        <v>46</v>
      </c>
      <c r="L3" s="4" t="s">
        <v>47</v>
      </c>
      <c r="M3" s="4" t="s">
        <v>48</v>
      </c>
    </row>
    <row r="5" spans="1:13">
      <c r="A5" s="4" t="s">
        <v>15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J5">
        <v>0</v>
      </c>
      <c r="K5" s="2">
        <v>-75600000</v>
      </c>
      <c r="L5" s="2">
        <v>0</v>
      </c>
      <c r="M5" s="2">
        <v>0</v>
      </c>
    </row>
    <row r="6" spans="1:13">
      <c r="J6">
        <v>1</v>
      </c>
      <c r="K6" s="2">
        <v>-79380000</v>
      </c>
      <c r="L6" s="2">
        <v>-9000000</v>
      </c>
      <c r="M6" s="2">
        <v>-27579161.48004159</v>
      </c>
    </row>
    <row r="7" spans="1:13">
      <c r="A7" t="s">
        <v>20</v>
      </c>
      <c r="B7" s="2">
        <v>-98677014.30861197</v>
      </c>
      <c r="C7" s="2">
        <v>-48105488.55506641</v>
      </c>
      <c r="D7" s="2">
        <v>-67580221.57198544</v>
      </c>
      <c r="E7" s="3">
        <v>0</v>
      </c>
      <c r="F7" s="3">
        <v>0</v>
      </c>
      <c r="G7" s="3">
        <v>0</v>
      </c>
      <c r="H7" s="2">
        <v>141380.7334089214</v>
      </c>
      <c r="J7">
        <v>2</v>
      </c>
      <c r="K7" s="2">
        <v>-83160000</v>
      </c>
      <c r="L7" s="2">
        <v>-18000000</v>
      </c>
      <c r="M7" s="2">
        <v>-55158322.96008318</v>
      </c>
    </row>
    <row r="8" spans="1:13">
      <c r="A8" t="s">
        <v>21</v>
      </c>
      <c r="B8" s="2">
        <v>-107682210.6204746</v>
      </c>
      <c r="C8" s="2">
        <v>-50852007.25569776</v>
      </c>
      <c r="D8" s="2">
        <v>-71621551.06756526</v>
      </c>
      <c r="E8" s="3">
        <v>0</v>
      </c>
      <c r="F8" s="3">
        <v>0</v>
      </c>
      <c r="G8" s="3">
        <v>0</v>
      </c>
      <c r="H8" s="2">
        <v>153217.5637780088</v>
      </c>
      <c r="J8">
        <v>3</v>
      </c>
      <c r="K8" s="2">
        <v>-86940000</v>
      </c>
      <c r="L8" s="2">
        <v>-27000000</v>
      </c>
      <c r="M8" s="2">
        <v>-90297484.44012478</v>
      </c>
    </row>
    <row r="9" spans="1:13">
      <c r="A9" t="s">
        <v>22</v>
      </c>
      <c r="B9" s="2">
        <v>-127140895.1408022</v>
      </c>
      <c r="C9" s="2">
        <v>-51944255.27759128</v>
      </c>
      <c r="D9" s="2">
        <v>-80331756.8086759</v>
      </c>
      <c r="E9" s="3">
        <v>0</v>
      </c>
      <c r="F9" s="3">
        <v>0</v>
      </c>
      <c r="G9" s="3">
        <v>0</v>
      </c>
      <c r="H9" s="2">
        <v>181617.266836885</v>
      </c>
      <c r="J9">
        <v>4</v>
      </c>
      <c r="K9" s="2">
        <v>-90720000</v>
      </c>
      <c r="L9" s="2">
        <v>-36000000</v>
      </c>
      <c r="M9" s="2">
        <v>-90297484.44012478</v>
      </c>
    </row>
    <row r="10" spans="1:13">
      <c r="J10">
        <v>5</v>
      </c>
      <c r="K10" s="2">
        <v>-113400000</v>
      </c>
      <c r="L10" s="2">
        <v>-45000000</v>
      </c>
      <c r="M10" s="2">
        <v>-90297484.44012478</v>
      </c>
    </row>
    <row r="11" spans="1:13">
      <c r="J11">
        <v>6</v>
      </c>
      <c r="K11" s="2">
        <v>-117180000</v>
      </c>
      <c r="L11" s="2">
        <v>-54000000</v>
      </c>
      <c r="M11" s="2">
        <v>-90297484.44012478</v>
      </c>
    </row>
    <row r="12" spans="1:13">
      <c r="J12">
        <v>7</v>
      </c>
      <c r="K12" s="2">
        <v>-120960000</v>
      </c>
      <c r="L12" s="2">
        <v>-63000000</v>
      </c>
      <c r="M12" s="2">
        <v>-90297484.44012478</v>
      </c>
    </row>
    <row r="13" spans="1:13">
      <c r="J13">
        <v>8</v>
      </c>
      <c r="K13" s="2">
        <v>-124740000</v>
      </c>
      <c r="L13" s="2">
        <v>-72000000</v>
      </c>
      <c r="M13" s="2">
        <v>-90297484.44012478</v>
      </c>
    </row>
    <row r="14" spans="1:13">
      <c r="J14">
        <v>9</v>
      </c>
      <c r="K14" s="2">
        <v>-128520000</v>
      </c>
      <c r="L14" s="2">
        <v>-81000000</v>
      </c>
      <c r="M14" s="2">
        <v>-90297484.44012478</v>
      </c>
    </row>
    <row r="15" spans="1:13">
      <c r="J15">
        <v>10</v>
      </c>
      <c r="K15" s="2">
        <v>-132300000</v>
      </c>
      <c r="L15" s="2">
        <v>-90000000</v>
      </c>
      <c r="M15" s="2">
        <v>-90297484.44012478</v>
      </c>
    </row>
    <row r="41" spans="1:1">
      <c r="A41" t="s">
        <v>20</v>
      </c>
    </row>
    <row r="42" spans="1:1">
      <c r="A42" t="s">
        <v>21</v>
      </c>
    </row>
    <row r="43" spans="1:1">
      <c r="A43" t="s">
        <v>22</v>
      </c>
    </row>
    <row r="55" spans="1:1">
      <c r="A55" s="4" t="s">
        <v>49</v>
      </c>
    </row>
    <row r="57" spans="1:1">
      <c r="A57" t="s">
        <v>50</v>
      </c>
    </row>
    <row r="58" spans="1:1">
      <c r="A58" t="s">
        <v>51</v>
      </c>
    </row>
    <row r="59" spans="1:1">
      <c r="A59" t="s">
        <v>52</v>
      </c>
    </row>
  </sheetData>
  <dataValidations count="1">
    <dataValidation type="list" allowBlank="1" showInputMessage="1" showErrorMessage="1" sqref="B3">
      <formula1>"Optimista,Base,Pesimista"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20</v>
      </c>
      <c r="B2">
        <v>0</v>
      </c>
      <c r="C2">
        <v>-70383600</v>
      </c>
      <c r="D2">
        <v>0</v>
      </c>
      <c r="E2">
        <v>0</v>
      </c>
    </row>
    <row r="3" spans="1:5">
      <c r="A3" t="s">
        <v>20</v>
      </c>
      <c r="B3">
        <v>1</v>
      </c>
      <c r="C3">
        <v>-3167262</v>
      </c>
      <c r="D3">
        <v>-8100000</v>
      </c>
      <c r="E3">
        <v>-25448532.01360585</v>
      </c>
    </row>
    <row r="4" spans="1:5">
      <c r="A4" t="s">
        <v>20</v>
      </c>
      <c r="B4">
        <v>2</v>
      </c>
      <c r="C4">
        <v>-3167262</v>
      </c>
      <c r="D4">
        <v>-8100000</v>
      </c>
      <c r="E4">
        <v>-25448532.01360585</v>
      </c>
    </row>
    <row r="5" spans="1:5">
      <c r="A5" t="s">
        <v>20</v>
      </c>
      <c r="B5">
        <v>3</v>
      </c>
      <c r="C5">
        <v>-3167262</v>
      </c>
      <c r="D5">
        <v>-8100000</v>
      </c>
      <c r="E5">
        <v>-32486892.01360585</v>
      </c>
    </row>
    <row r="6" spans="1:5">
      <c r="A6" t="s">
        <v>20</v>
      </c>
      <c r="B6">
        <v>4</v>
      </c>
      <c r="C6">
        <v>-3167262</v>
      </c>
      <c r="D6">
        <v>-8100000</v>
      </c>
      <c r="E6">
        <v>0</v>
      </c>
    </row>
    <row r="7" spans="1:5">
      <c r="A7" t="s">
        <v>20</v>
      </c>
      <c r="B7">
        <v>5</v>
      </c>
      <c r="C7">
        <v>-19003572</v>
      </c>
      <c r="D7">
        <v>-8100000</v>
      </c>
      <c r="E7">
        <v>0</v>
      </c>
    </row>
    <row r="8" spans="1:5">
      <c r="A8" t="s">
        <v>20</v>
      </c>
      <c r="B8">
        <v>6</v>
      </c>
      <c r="C8">
        <v>-3167262</v>
      </c>
      <c r="D8">
        <v>-8100000</v>
      </c>
      <c r="E8">
        <v>0</v>
      </c>
    </row>
    <row r="9" spans="1:5">
      <c r="A9" t="s">
        <v>20</v>
      </c>
      <c r="B9">
        <v>7</v>
      </c>
      <c r="C9">
        <v>-3167262</v>
      </c>
      <c r="D9">
        <v>-8100000</v>
      </c>
      <c r="E9">
        <v>0</v>
      </c>
    </row>
    <row r="10" spans="1:5">
      <c r="A10" t="s">
        <v>20</v>
      </c>
      <c r="B10">
        <v>8</v>
      </c>
      <c r="C10">
        <v>-3167262</v>
      </c>
      <c r="D10">
        <v>-8100000</v>
      </c>
      <c r="E10">
        <v>0</v>
      </c>
    </row>
    <row r="11" spans="1:5">
      <c r="A11" t="s">
        <v>20</v>
      </c>
      <c r="B11">
        <v>9</v>
      </c>
      <c r="C11">
        <v>-3167262</v>
      </c>
      <c r="D11">
        <v>-8100000</v>
      </c>
      <c r="E11">
        <v>0</v>
      </c>
    </row>
    <row r="12" spans="1:5">
      <c r="A12" t="s">
        <v>20</v>
      </c>
      <c r="B12">
        <v>10</v>
      </c>
      <c r="C12">
        <v>-3167262</v>
      </c>
      <c r="D12">
        <v>-8100000</v>
      </c>
      <c r="E12">
        <v>0</v>
      </c>
    </row>
    <row r="13" spans="1:5">
      <c r="A13" t="s">
        <v>21</v>
      </c>
      <c r="B13">
        <v>0</v>
      </c>
      <c r="C13">
        <v>-75600000</v>
      </c>
      <c r="D13">
        <v>0</v>
      </c>
      <c r="E13">
        <v>0</v>
      </c>
    </row>
    <row r="14" spans="1:5">
      <c r="A14" t="s">
        <v>21</v>
      </c>
      <c r="B14">
        <v>1</v>
      </c>
      <c r="C14">
        <v>-3780000</v>
      </c>
      <c r="D14">
        <v>-9000000</v>
      </c>
      <c r="E14">
        <v>-27579161.48004159</v>
      </c>
    </row>
    <row r="15" spans="1:5">
      <c r="A15" t="s">
        <v>21</v>
      </c>
      <c r="B15">
        <v>2</v>
      </c>
      <c r="C15">
        <v>-3780000</v>
      </c>
      <c r="D15">
        <v>-9000000</v>
      </c>
      <c r="E15">
        <v>-27579161.48004159</v>
      </c>
    </row>
    <row r="16" spans="1:5">
      <c r="A16" t="s">
        <v>21</v>
      </c>
      <c r="B16">
        <v>3</v>
      </c>
      <c r="C16">
        <v>-3780000</v>
      </c>
      <c r="D16">
        <v>-9000000</v>
      </c>
      <c r="E16">
        <v>-35139161.48004159</v>
      </c>
    </row>
    <row r="17" spans="1:5">
      <c r="A17" t="s">
        <v>21</v>
      </c>
      <c r="B17">
        <v>4</v>
      </c>
      <c r="C17">
        <v>-3780000</v>
      </c>
      <c r="D17">
        <v>-9000000</v>
      </c>
      <c r="E17">
        <v>0</v>
      </c>
    </row>
    <row r="18" spans="1:5">
      <c r="A18" t="s">
        <v>21</v>
      </c>
      <c r="B18">
        <v>5</v>
      </c>
      <c r="C18">
        <v>-22680000</v>
      </c>
      <c r="D18">
        <v>-9000000</v>
      </c>
      <c r="E18">
        <v>0</v>
      </c>
    </row>
    <row r="19" spans="1:5">
      <c r="A19" t="s">
        <v>21</v>
      </c>
      <c r="B19">
        <v>6</v>
      </c>
      <c r="C19">
        <v>-3780000</v>
      </c>
      <c r="D19">
        <v>-9000000</v>
      </c>
      <c r="E19">
        <v>0</v>
      </c>
    </row>
    <row r="20" spans="1:5">
      <c r="A20" t="s">
        <v>21</v>
      </c>
      <c r="B20">
        <v>7</v>
      </c>
      <c r="C20">
        <v>-3780000</v>
      </c>
      <c r="D20">
        <v>-9000000</v>
      </c>
      <c r="E20">
        <v>0</v>
      </c>
    </row>
    <row r="21" spans="1:5">
      <c r="A21" t="s">
        <v>21</v>
      </c>
      <c r="B21">
        <v>8</v>
      </c>
      <c r="C21">
        <v>-3780000</v>
      </c>
      <c r="D21">
        <v>-9000000</v>
      </c>
      <c r="E21">
        <v>0</v>
      </c>
    </row>
    <row r="22" spans="1:5">
      <c r="A22" t="s">
        <v>21</v>
      </c>
      <c r="B22">
        <v>9</v>
      </c>
      <c r="C22">
        <v>-3780000</v>
      </c>
      <c r="D22">
        <v>-9000000</v>
      </c>
      <c r="E22">
        <v>0</v>
      </c>
    </row>
    <row r="23" spans="1:5">
      <c r="A23" t="s">
        <v>21</v>
      </c>
      <c r="B23">
        <v>10</v>
      </c>
      <c r="C23">
        <v>-3780000</v>
      </c>
      <c r="D23">
        <v>-9000000</v>
      </c>
      <c r="E23">
        <v>0</v>
      </c>
    </row>
    <row r="24" spans="1:5">
      <c r="A24" t="s">
        <v>22</v>
      </c>
      <c r="B24">
        <v>0</v>
      </c>
      <c r="C24">
        <v>-86546880.00000001</v>
      </c>
      <c r="D24">
        <v>0</v>
      </c>
      <c r="E24">
        <v>0</v>
      </c>
    </row>
    <row r="25" spans="1:5">
      <c r="A25" t="s">
        <v>22</v>
      </c>
      <c r="B25">
        <v>1</v>
      </c>
      <c r="C25">
        <v>-5409180.000000001</v>
      </c>
      <c r="D25">
        <v>-10350000</v>
      </c>
      <c r="E25">
        <v>-32691108.03063929</v>
      </c>
    </row>
    <row r="26" spans="1:5">
      <c r="A26" t="s">
        <v>22</v>
      </c>
      <c r="B26">
        <v>2</v>
      </c>
      <c r="C26">
        <v>-5409180.000000001</v>
      </c>
      <c r="D26">
        <v>-10350000</v>
      </c>
      <c r="E26">
        <v>-32691108.03063929</v>
      </c>
    </row>
    <row r="27" spans="1:5">
      <c r="A27" t="s">
        <v>22</v>
      </c>
      <c r="B27">
        <v>3</v>
      </c>
      <c r="C27">
        <v>-5409180.000000001</v>
      </c>
      <c r="D27">
        <v>-10350000</v>
      </c>
      <c r="E27">
        <v>-41345796.03063929</v>
      </c>
    </row>
    <row r="28" spans="1:5">
      <c r="A28" t="s">
        <v>22</v>
      </c>
      <c r="B28">
        <v>4</v>
      </c>
      <c r="C28">
        <v>-5409180.000000001</v>
      </c>
      <c r="D28">
        <v>-10350000</v>
      </c>
      <c r="E28">
        <v>0</v>
      </c>
    </row>
    <row r="29" spans="1:5">
      <c r="A29" t="s">
        <v>22</v>
      </c>
      <c r="B29">
        <v>5</v>
      </c>
      <c r="C29">
        <v>-32455080</v>
      </c>
      <c r="D29">
        <v>-10350000</v>
      </c>
      <c r="E29">
        <v>0</v>
      </c>
    </row>
    <row r="30" spans="1:5">
      <c r="A30" t="s">
        <v>22</v>
      </c>
      <c r="B30">
        <v>6</v>
      </c>
      <c r="C30">
        <v>-5409180.000000001</v>
      </c>
      <c r="D30">
        <v>-10350000</v>
      </c>
      <c r="E30">
        <v>0</v>
      </c>
    </row>
    <row r="31" spans="1:5">
      <c r="A31" t="s">
        <v>22</v>
      </c>
      <c r="B31">
        <v>7</v>
      </c>
      <c r="C31">
        <v>-5409180.000000001</v>
      </c>
      <c r="D31">
        <v>-10350000</v>
      </c>
      <c r="E31">
        <v>0</v>
      </c>
    </row>
    <row r="32" spans="1:5">
      <c r="A32" t="s">
        <v>22</v>
      </c>
      <c r="B32">
        <v>8</v>
      </c>
      <c r="C32">
        <v>-5409180.000000001</v>
      </c>
      <c r="D32">
        <v>-10350000</v>
      </c>
      <c r="E32">
        <v>0</v>
      </c>
    </row>
    <row r="33" spans="1:5">
      <c r="A33" t="s">
        <v>22</v>
      </c>
      <c r="B33">
        <v>9</v>
      </c>
      <c r="C33">
        <v>-5409180.000000001</v>
      </c>
      <c r="D33">
        <v>-10350000</v>
      </c>
      <c r="E33">
        <v>0</v>
      </c>
    </row>
    <row r="34" spans="1:5">
      <c r="A34" t="s">
        <v>22</v>
      </c>
      <c r="B34">
        <v>10</v>
      </c>
      <c r="C34">
        <v>-5409180.000000001</v>
      </c>
      <c r="D34">
        <v>-10350000</v>
      </c>
      <c r="E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Supuestos</vt:lpstr>
      <vt:lpstr>Flujos</vt:lpstr>
      <vt:lpstr>Grafico</vt:lpstr>
      <vt:lpstr>Resumen</vt:lpstr>
      <vt:lpstr>Sensibilidad</vt:lpstr>
      <vt:lpstr>Dashboard</vt:lpstr>
      <vt:lpstr>Export_Flujos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2025-11-23T05:37:05Z</dcterms:created>
  <dcterms:modified xsi:type="dcterms:W3CDTF">2025-11-23T05:37:05Z</dcterms:modified>
</cp:coreProperties>
</file>